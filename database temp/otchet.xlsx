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<sst xmlns="http://schemas.openxmlformats.org/spreadsheetml/2006/main" count="35" uniqueCount="35">
  <si>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№ автобуса</t>
  </si>
  <si>
    <t>Пн</t>
  </si>
  <si>
    <t>Вт</t>
  </si>
  <si>
    <t>Ср</t>
  </si>
  <si>
    <t>Чт</t>
  </si>
  <si>
    <t>Пт</t>
  </si>
  <si>
    <t>Сб</t>
  </si>
  <si>
    <t>Вс</t>
  </si>
  <si>
    <t>∑ дохода за неделю</t>
  </si>
  <si>
    <t>План недели</t>
  </si>
  <si>
    <t>Отклонение</t>
  </si>
  <si>
    <t>% выполнения</t>
  </si>
  <si>
    <t>Группа (неделя)</t>
  </si>
  <si>
    <t>Низких дней (&lt;15k)</t>
  </si>
  <si>
    <t>Норма дней (=15k)</t>
  </si>
  <si>
    <t>Высоких дней (&gt;15k)</t>
  </si>
  <si>
    <t>К 307 ХМ 147</t>
  </si>
  <si>
    <t>М 110 ХЕ 198</t>
  </si>
  <si>
    <t>Т 038 РВ 198</t>
  </si>
  <si>
    <t>У 001 НА 198</t>
  </si>
  <si>
    <t>У 032 ХА 198</t>
  </si>
  <si>
    <t>У 077 ХА 198</t>
  </si>
  <si>
    <t>У 254 ЕЕ 198</t>
  </si>
  <si>
    <t>У 271 РО 198</t>
  </si>
  <si>
    <t>У 323 ЕЕ 198</t>
  </si>
  <si>
    <t>У 705 МР 198</t>
  </si>
  <si>
    <t>У 760 МР 198</t>
  </si>
  <si>
    <t>У 767 ТЕ 198</t>
  </si>
  <si>
    <t>У 786 НК 198</t>
  </si>
  <si>
    <t>У 897 НК 198</t>
  </si>
  <si>
    <t>У 919 ТВ 198</t>
  </si>
  <si>
    <t>У 946 УН 198</t>
  </si>
  <si>
    <t>У 962 АС 198</t>
  </si>
  <si>
    <t>У 987 СС 198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</si>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</sst>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 Light"/>
      <charset val="204"/>
      <scheme val="major"/>
    </font>
    <font>
      <b/>
      <sz val="11"/>
      <color theme="1"/>
      <name val="Calibri Light"/>
      <charset val="204"/>
      <scheme val="major"/>
    </font>
    <font>
      <sz val="12"/>
      <color theme="1"/>
      <name val="Calibri Light"/>
      <charset val="204"/>
      <scheme val="major"/>
    </font>
    <font>
      <sz val="11"/>
      <color rgb="FF0F1115"/>
      <name val="Consolas"/>
      <charset val="204"/>
    </font>
    <font>
      <sz val="10"/>
      <color rgb="FF0F1115"/>
      <name val="Consolas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1" fillId="0" borderId="0" xfId="0" applyFont="1" applyAlignment="1">
      <alignment wrapText="1"/>
    </xf>
    <xf numFmtId="0" fontId="5" fillId="0" borderId="1" xfId="0" applyFont="1" applyBorder="1" applyAlignment="1">
      <alignment horizontal="left" vertical="center" indent="1"/>
    </xf>
    <xf numFmtId="0" fontId="1" fillId="0" borderId="1" xfId="0" applyFont="1" applyBorder="1"/>
    <xf numFmtId="9" fontId="1" fillId="0" borderId="1" xfId="3" applyFont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workbookViewId="0">
      <selection activeCell="L16" sqref="L16"/>
    </sheetView>
  </sheetViews>
  <sheetFormatPr defaultColWidth="9" defaultRowHeight="14.4"/>
  <cols>
    <col min="1" max="1" width="17" style="1" customWidth="1"/>
    <col min="2" max="2" width="14.1388888888889" style="1" customWidth="1"/>
    <col min="3" max="4" width="13.8611111111111" style="1" customWidth="1"/>
    <col min="5" max="5" width="13.712962962963" style="1" customWidth="1"/>
    <col min="6" max="6" width="13.8611111111111" style="1" customWidth="1"/>
    <col min="7" max="7" width="14" style="1" customWidth="1"/>
    <col min="8" max="8" width="14.8611111111111" style="1" customWidth="1"/>
    <col min="9" max="9" width="21.5740740740741" style="1" customWidth="1"/>
    <col min="10" max="10" width="14" style="1" customWidth="1"/>
    <col min="11" max="11" width="13.4259259259259" style="1" customWidth="1"/>
    <col min="12" max="12" width="16.1388888888889" style="1" customWidth="1"/>
    <col min="13" max="13" width="17.712962962963" style="1" customWidth="1"/>
    <col min="14" max="14" width="13.8611111111111" style="1" customWidth="1"/>
    <col min="15" max="15" width="13.4259259259259" style="1" customWidth="1"/>
    <col min="16" max="16" width="15.1388888888889" style="1" customWidth="1"/>
    <col min="17" max="16384" width="9.13888888888889" style="1"/>
  </cols>
  <sheetData>
    <row r="1" ht="28.8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6" spans="1:16">
      <c r="A2" s="3" t="s">
        <v>16</v>
      </c>
      <c r="B2" s="4">
        <v>24524.2</v>
      </c>
      <c r="C2" s="4">
        <v>24524.2</v>
      </c>
      <c r="D2" s="4">
        <v>24524.2</v>
      </c>
      <c r="E2" s="4">
        <v>24524.2</v>
      </c>
      <c r="F2" s="4">
        <v>19762.3</v>
      </c>
      <c r="G2" s="4">
        <v>26483.33</v>
      </c>
      <c r="H2" s="4">
        <v>16500</v>
      </c>
      <c r="I2" s="9">
        <f>SUM(B2:H2)</f>
        <v>160842.43</v>
      </c>
      <c r="J2" s="10">
        <v>105000</v>
      </c>
      <c r="K2" s="10">
        <f>I2-J2</f>
        <v>55842.43</v>
      </c>
      <c r="L2" s="11">
        <f>IF(J2&lt;&gt;0,I2/J2,0)</f>
        <v>1.53183266666667</v>
      </c>
      <c r="M2" s="10" t="str">
        <f>IF(I2=105000,"Норма (план)",IF(I2&gt;105000,"Высокий доход","Низкий доход"))</f>
        <v>Высокий доход</v>
      </c>
      <c r="N2" s="10">
        <f>COUNTIF(B2:H2,"&lt;14500")</f>
        <v>0</v>
      </c>
      <c r="O2" s="10">
        <f>COUNTIFS(B2:H2,"&gt;=14500",B2:H2,"&lt;=16000")</f>
        <v>0</v>
      </c>
      <c r="P2" s="10">
        <f>COUNTIF(B2:H2,"&gt;16000")</f>
        <v>7</v>
      </c>
    </row>
    <row r="3" ht="15.6" spans="1:16">
      <c r="A3" s="3" t="s">
        <v>17</v>
      </c>
      <c r="B3" s="4">
        <v>31600</v>
      </c>
      <c r="C3" s="4">
        <v>31775</v>
      </c>
      <c r="D3" s="4">
        <v>31600</v>
      </c>
      <c r="E3" s="4">
        <v>31600</v>
      </c>
      <c r="F3" s="4">
        <v>31775</v>
      </c>
      <c r="G3" s="4">
        <v>0</v>
      </c>
      <c r="H3" s="4">
        <v>0</v>
      </c>
      <c r="I3" s="9">
        <f t="shared" ref="I3:I19" si="0">SUM(B3:H3)</f>
        <v>158350</v>
      </c>
      <c r="J3" s="10">
        <v>105000</v>
      </c>
      <c r="K3" s="10">
        <f t="shared" ref="K3:K19" si="1">I3-J3</f>
        <v>53350</v>
      </c>
      <c r="L3" s="11">
        <f t="shared" ref="L3:L19" si="2">IF(J3&lt;&gt;0,I3/J3,0)</f>
        <v>1.50809523809524</v>
      </c>
      <c r="M3" s="10" t="str">
        <f t="shared" ref="M3:M19" si="3">IF(I3=105000,"Норма (план)",IF(I3&gt;105000,"Высокий доход","Низкий доход"))</f>
        <v>Высокий доход</v>
      </c>
      <c r="N3" s="10">
        <f t="shared" ref="N3:N19" si="4">COUNTIF(B3:H3,"&lt;14500")</f>
        <v>2</v>
      </c>
      <c r="O3" s="10">
        <f t="shared" ref="O3:O19" si="5">COUNTIFS(B3:H3,"&gt;=14500",B3:H3,"&lt;=16000")</f>
        <v>0</v>
      </c>
      <c r="P3" s="10">
        <f t="shared" ref="P3:P19" si="6">COUNTIF(B3:H3,"&gt;16000")</f>
        <v>5</v>
      </c>
    </row>
    <row r="4" ht="15.6" spans="1:16">
      <c r="A4" s="3" t="s">
        <v>18</v>
      </c>
      <c r="B4" s="4">
        <v>24726.4</v>
      </c>
      <c r="C4" s="4">
        <v>24726.4</v>
      </c>
      <c r="D4" s="4">
        <v>27726.4</v>
      </c>
      <c r="E4" s="4">
        <v>46821.64</v>
      </c>
      <c r="F4" s="4">
        <v>29488.3</v>
      </c>
      <c r="G4" s="4">
        <v>19202.59</v>
      </c>
      <c r="H4" s="4">
        <v>0</v>
      </c>
      <c r="I4" s="9">
        <f t="shared" si="0"/>
        <v>172691.73</v>
      </c>
      <c r="J4" s="10">
        <v>105000</v>
      </c>
      <c r="K4" s="10">
        <f t="shared" si="1"/>
        <v>67691.73</v>
      </c>
      <c r="L4" s="11">
        <f t="shared" si="2"/>
        <v>1.64468314285714</v>
      </c>
      <c r="M4" s="10" t="str">
        <f t="shared" si="3"/>
        <v>Высокий доход</v>
      </c>
      <c r="N4" s="10">
        <f t="shared" si="4"/>
        <v>1</v>
      </c>
      <c r="O4" s="10">
        <f t="shared" si="5"/>
        <v>0</v>
      </c>
      <c r="P4" s="10">
        <f t="shared" si="6"/>
        <v>6</v>
      </c>
    </row>
    <row r="5" ht="15.6" spans="1:16">
      <c r="A5" s="5" t="s">
        <v>19</v>
      </c>
      <c r="B5" s="4">
        <v>44500</v>
      </c>
      <c r="C5" s="4">
        <v>22000</v>
      </c>
      <c r="D5" s="4">
        <v>19571.42</v>
      </c>
      <c r="E5" s="4">
        <v>18990</v>
      </c>
      <c r="F5" s="4">
        <v>22175</v>
      </c>
      <c r="G5" s="4">
        <v>15200</v>
      </c>
      <c r="H5" s="4">
        <v>15600</v>
      </c>
      <c r="I5" s="9">
        <f t="shared" si="0"/>
        <v>158036.42</v>
      </c>
      <c r="J5" s="10">
        <v>105000</v>
      </c>
      <c r="K5" s="10">
        <f t="shared" si="1"/>
        <v>53036.42</v>
      </c>
      <c r="L5" s="11">
        <f t="shared" si="2"/>
        <v>1.50510876190476</v>
      </c>
      <c r="M5" s="10" t="str">
        <f t="shared" si="3"/>
        <v>Высокий доход</v>
      </c>
      <c r="N5" s="10">
        <f t="shared" si="4"/>
        <v>0</v>
      </c>
      <c r="O5" s="10">
        <f t="shared" si="5"/>
        <v>2</v>
      </c>
      <c r="P5" s="10">
        <f t="shared" si="6"/>
        <v>5</v>
      </c>
    </row>
    <row r="6" ht="15.6" spans="1:16">
      <c r="A6" s="5" t="s">
        <v>20</v>
      </c>
      <c r="B6" s="4">
        <v>23508.2</v>
      </c>
      <c r="C6" s="4">
        <v>18952.64</v>
      </c>
      <c r="D6" s="4">
        <v>24960.57</v>
      </c>
      <c r="E6" s="4">
        <v>21674.86</v>
      </c>
      <c r="F6" s="4">
        <v>28341.53</v>
      </c>
      <c r="G6" s="4">
        <v>12000</v>
      </c>
      <c r="H6" s="4">
        <v>0</v>
      </c>
      <c r="I6" s="9">
        <f t="shared" si="0"/>
        <v>129437.8</v>
      </c>
      <c r="J6" s="10">
        <v>105000</v>
      </c>
      <c r="K6" s="10">
        <f t="shared" si="1"/>
        <v>24437.8</v>
      </c>
      <c r="L6" s="11">
        <f t="shared" si="2"/>
        <v>1.23274095238095</v>
      </c>
      <c r="M6" s="10" t="str">
        <f t="shared" si="3"/>
        <v>Высокий доход</v>
      </c>
      <c r="N6" s="10">
        <f t="shared" si="4"/>
        <v>2</v>
      </c>
      <c r="O6" s="10">
        <f t="shared" si="5"/>
        <v>0</v>
      </c>
      <c r="P6" s="10">
        <f t="shared" si="6"/>
        <v>5</v>
      </c>
    </row>
    <row r="7" ht="15.6" spans="1:16">
      <c r="A7" s="5" t="s">
        <v>21</v>
      </c>
      <c r="B7" s="4">
        <v>20391.09</v>
      </c>
      <c r="C7" s="4">
        <v>20391.09</v>
      </c>
      <c r="D7" s="4">
        <v>13874.7</v>
      </c>
      <c r="E7" s="4">
        <v>25391.09</v>
      </c>
      <c r="F7" s="4">
        <v>17891.09</v>
      </c>
      <c r="G7" s="4">
        <v>21087.81</v>
      </c>
      <c r="H7" s="4">
        <v>13571.42</v>
      </c>
      <c r="I7" s="9">
        <f t="shared" si="0"/>
        <v>132598.29</v>
      </c>
      <c r="J7" s="10">
        <v>105000</v>
      </c>
      <c r="K7" s="10">
        <f t="shared" si="1"/>
        <v>27598.29</v>
      </c>
      <c r="L7" s="11">
        <f t="shared" si="2"/>
        <v>1.26284085714286</v>
      </c>
      <c r="M7" s="10" t="str">
        <f t="shared" si="3"/>
        <v>Высокий доход</v>
      </c>
      <c r="N7" s="10">
        <f t="shared" si="4"/>
        <v>2</v>
      </c>
      <c r="O7" s="10">
        <f t="shared" si="5"/>
        <v>0</v>
      </c>
      <c r="P7" s="10">
        <f t="shared" si="6"/>
        <v>5</v>
      </c>
    </row>
    <row r="8" ht="15.6" spans="1:16">
      <c r="A8" s="5" t="s">
        <v>22</v>
      </c>
      <c r="B8" s="4">
        <v>20000</v>
      </c>
      <c r="C8" s="4">
        <v>21980</v>
      </c>
      <c r="D8" s="4">
        <v>27000</v>
      </c>
      <c r="E8" s="4">
        <v>20000</v>
      </c>
      <c r="F8" s="4">
        <v>20000</v>
      </c>
      <c r="G8" s="4">
        <v>19900</v>
      </c>
      <c r="H8" s="4">
        <v>20000</v>
      </c>
      <c r="I8" s="9">
        <f t="shared" si="0"/>
        <v>148880</v>
      </c>
      <c r="J8" s="10">
        <v>105000</v>
      </c>
      <c r="K8" s="10">
        <f t="shared" si="1"/>
        <v>43880</v>
      </c>
      <c r="L8" s="11">
        <f t="shared" si="2"/>
        <v>1.41790476190476</v>
      </c>
      <c r="M8" s="10" t="str">
        <f t="shared" si="3"/>
        <v>Высокий доход</v>
      </c>
      <c r="N8" s="10">
        <f t="shared" si="4"/>
        <v>0</v>
      </c>
      <c r="O8" s="10">
        <f t="shared" si="5"/>
        <v>0</v>
      </c>
      <c r="P8" s="10">
        <f t="shared" si="6"/>
        <v>7</v>
      </c>
    </row>
    <row r="9" ht="15.6" spans="1:16">
      <c r="A9" s="5" t="s">
        <v>23</v>
      </c>
      <c r="B9" s="4">
        <v>30795.24</v>
      </c>
      <c r="C9" s="4">
        <v>34997.62</v>
      </c>
      <c r="D9" s="4">
        <v>31542.86</v>
      </c>
      <c r="E9" s="4">
        <v>45238.1</v>
      </c>
      <c r="F9" s="4">
        <v>35142.86</v>
      </c>
      <c r="G9" s="4">
        <v>27036.39</v>
      </c>
      <c r="H9" s="4">
        <v>22520</v>
      </c>
      <c r="I9" s="9">
        <f t="shared" si="0"/>
        <v>227273.07</v>
      </c>
      <c r="J9" s="10">
        <v>105000</v>
      </c>
      <c r="K9" s="10">
        <f t="shared" si="1"/>
        <v>122273.07</v>
      </c>
      <c r="L9" s="11">
        <f t="shared" si="2"/>
        <v>2.16450542857143</v>
      </c>
      <c r="M9" s="10" t="str">
        <f t="shared" si="3"/>
        <v>Высокий доход</v>
      </c>
      <c r="N9" s="10">
        <f t="shared" si="4"/>
        <v>0</v>
      </c>
      <c r="O9" s="10">
        <f t="shared" si="5"/>
        <v>0</v>
      </c>
      <c r="P9" s="10">
        <f t="shared" si="6"/>
        <v>7</v>
      </c>
    </row>
    <row r="10" ht="15.6" spans="1:16">
      <c r="A10" s="5" t="s">
        <v>24</v>
      </c>
      <c r="B10" s="4">
        <v>22047.6</v>
      </c>
      <c r="C10" s="4">
        <v>19047.6</v>
      </c>
      <c r="D10" s="4">
        <v>15873</v>
      </c>
      <c r="E10" s="4">
        <v>21547.6</v>
      </c>
      <c r="F10" s="4">
        <v>21547.6</v>
      </c>
      <c r="G10" s="4">
        <v>15071.44</v>
      </c>
      <c r="H10" s="4">
        <v>16500</v>
      </c>
      <c r="I10" s="9">
        <f t="shared" si="0"/>
        <v>131634.84</v>
      </c>
      <c r="J10" s="10">
        <v>105000</v>
      </c>
      <c r="K10" s="10">
        <f t="shared" si="1"/>
        <v>26634.84</v>
      </c>
      <c r="L10" s="11">
        <f t="shared" si="2"/>
        <v>1.25366514285714</v>
      </c>
      <c r="M10" s="10" t="str">
        <f t="shared" si="3"/>
        <v>Высокий доход</v>
      </c>
      <c r="N10" s="10">
        <f t="shared" si="4"/>
        <v>0</v>
      </c>
      <c r="O10" s="10">
        <f t="shared" si="5"/>
        <v>2</v>
      </c>
      <c r="P10" s="10">
        <f t="shared" si="6"/>
        <v>5</v>
      </c>
    </row>
    <row r="11" ht="15.6" spans="1:16">
      <c r="A11" s="5" t="s">
        <v>25</v>
      </c>
      <c r="B11" s="4">
        <v>25885</v>
      </c>
      <c r="C11" s="4">
        <v>11280</v>
      </c>
      <c r="D11" s="4">
        <v>14605</v>
      </c>
      <c r="E11" s="4">
        <v>25885</v>
      </c>
      <c r="F11" s="4">
        <v>25885</v>
      </c>
      <c r="G11">
        <v>14285.71</v>
      </c>
      <c r="H11" s="4">
        <v>0</v>
      </c>
      <c r="I11" s="9">
        <f t="shared" si="0"/>
        <v>117825.71</v>
      </c>
      <c r="J11" s="10">
        <v>105000</v>
      </c>
      <c r="K11" s="10">
        <f t="shared" si="1"/>
        <v>12825.71</v>
      </c>
      <c r="L11" s="11">
        <f t="shared" si="2"/>
        <v>1.12214961904762</v>
      </c>
      <c r="M11" s="10" t="str">
        <f t="shared" si="3"/>
        <v>Высокий доход</v>
      </c>
      <c r="N11" s="10">
        <f t="shared" si="4"/>
        <v>3</v>
      </c>
      <c r="O11" s="10">
        <f t="shared" si="5"/>
        <v>1</v>
      </c>
      <c r="P11" s="10">
        <f t="shared" si="6"/>
        <v>3</v>
      </c>
    </row>
    <row r="12" ht="15.6" spans="1:16">
      <c r="A12" s="5" t="s">
        <v>26</v>
      </c>
      <c r="B12" s="4">
        <v>14983.6</v>
      </c>
      <c r="C12" s="4">
        <v>26825.13</v>
      </c>
      <c r="D12" s="4">
        <v>12315.61</v>
      </c>
      <c r="E12" s="4">
        <v>0</v>
      </c>
      <c r="F12" s="4">
        <v>22200</v>
      </c>
      <c r="G12" s="4">
        <v>30166.67</v>
      </c>
      <c r="H12" s="4">
        <v>12318</v>
      </c>
      <c r="I12" s="9">
        <f t="shared" si="0"/>
        <v>118809.01</v>
      </c>
      <c r="J12" s="10">
        <v>105000</v>
      </c>
      <c r="K12" s="10">
        <f t="shared" si="1"/>
        <v>13809.01</v>
      </c>
      <c r="L12" s="11">
        <f t="shared" si="2"/>
        <v>1.13151438095238</v>
      </c>
      <c r="M12" s="10" t="str">
        <f t="shared" si="3"/>
        <v>Высокий доход</v>
      </c>
      <c r="N12" s="10">
        <f t="shared" si="4"/>
        <v>3</v>
      </c>
      <c r="O12" s="10">
        <f t="shared" si="5"/>
        <v>1</v>
      </c>
      <c r="P12" s="10">
        <f t="shared" si="6"/>
        <v>3</v>
      </c>
    </row>
    <row r="13" ht="15.6" spans="1:16">
      <c r="A13" s="5" t="s">
        <v>27</v>
      </c>
      <c r="B13" s="4">
        <v>15980</v>
      </c>
      <c r="C13" s="4">
        <v>20000</v>
      </c>
      <c r="D13" s="4">
        <v>40619.04</v>
      </c>
      <c r="E13" s="4">
        <v>17619.05</v>
      </c>
      <c r="F13" s="4">
        <v>18980</v>
      </c>
      <c r="G13" s="4">
        <v>20000</v>
      </c>
      <c r="H13" s="4">
        <v>17000</v>
      </c>
      <c r="I13" s="9">
        <f t="shared" si="0"/>
        <v>150198.09</v>
      </c>
      <c r="J13" s="10">
        <v>105000</v>
      </c>
      <c r="K13" s="10">
        <f t="shared" si="1"/>
        <v>45198.09</v>
      </c>
      <c r="L13" s="11">
        <f t="shared" si="2"/>
        <v>1.430458</v>
      </c>
      <c r="M13" s="10" t="str">
        <f t="shared" si="3"/>
        <v>Высокий доход</v>
      </c>
      <c r="N13" s="10">
        <f t="shared" si="4"/>
        <v>0</v>
      </c>
      <c r="O13" s="10">
        <f t="shared" si="5"/>
        <v>1</v>
      </c>
      <c r="P13" s="10">
        <f t="shared" si="6"/>
        <v>6</v>
      </c>
    </row>
    <row r="14" ht="15.6" spans="1:16">
      <c r="A14" s="5" t="s">
        <v>28</v>
      </c>
      <c r="B14" s="4">
        <v>14086.3</v>
      </c>
      <c r="C14" s="4">
        <v>14086.3</v>
      </c>
      <c r="D14" s="4">
        <v>13772.6</v>
      </c>
      <c r="E14" s="4">
        <v>14086.3</v>
      </c>
      <c r="F14" s="4">
        <v>4800</v>
      </c>
      <c r="G14" s="4">
        <v>9600</v>
      </c>
      <c r="H14" s="4">
        <v>9600</v>
      </c>
      <c r="I14" s="9">
        <f t="shared" si="0"/>
        <v>80031.5</v>
      </c>
      <c r="J14" s="10">
        <v>105000</v>
      </c>
      <c r="K14" s="10">
        <f t="shared" si="1"/>
        <v>-24968.5</v>
      </c>
      <c r="L14" s="11">
        <f t="shared" si="2"/>
        <v>0.762204761904762</v>
      </c>
      <c r="M14" s="10" t="str">
        <f t="shared" si="3"/>
        <v>Низкий доход</v>
      </c>
      <c r="N14" s="10">
        <f t="shared" si="4"/>
        <v>7</v>
      </c>
      <c r="O14" s="10">
        <f t="shared" si="5"/>
        <v>0</v>
      </c>
      <c r="P14" s="10">
        <f t="shared" si="6"/>
        <v>0</v>
      </c>
    </row>
    <row r="15" ht="15.6" spans="1:16">
      <c r="A15" s="5" t="s">
        <v>29</v>
      </c>
      <c r="B15" s="4">
        <v>18466.66</v>
      </c>
      <c r="C15" s="4">
        <v>22966.66</v>
      </c>
      <c r="D15" s="4">
        <v>21641.26</v>
      </c>
      <c r="E15" s="4">
        <v>18466.66</v>
      </c>
      <c r="F15" s="4">
        <v>10633.33</v>
      </c>
      <c r="G15" s="4">
        <v>17500</v>
      </c>
      <c r="H15" s="4">
        <v>16400</v>
      </c>
      <c r="I15" s="9">
        <f t="shared" si="0"/>
        <v>126074.57</v>
      </c>
      <c r="J15" s="10">
        <v>105000</v>
      </c>
      <c r="K15" s="10">
        <f t="shared" si="1"/>
        <v>21074.57</v>
      </c>
      <c r="L15" s="11">
        <f t="shared" si="2"/>
        <v>1.20071019047619</v>
      </c>
      <c r="M15" s="10" t="str">
        <f t="shared" si="3"/>
        <v>Высокий доход</v>
      </c>
      <c r="N15" s="10">
        <f t="shared" si="4"/>
        <v>1</v>
      </c>
      <c r="O15" s="10">
        <f t="shared" si="5"/>
        <v>0</v>
      </c>
      <c r="P15" s="10">
        <f t="shared" si="6"/>
        <v>6</v>
      </c>
    </row>
    <row r="16" ht="15.6" spans="1:16">
      <c r="A16" s="5" t="s">
        <v>30</v>
      </c>
      <c r="B16" s="4">
        <v>26571.42</v>
      </c>
      <c r="C16" s="4">
        <v>29642.84</v>
      </c>
      <c r="D16" s="4">
        <v>15980</v>
      </c>
      <c r="E16" s="4">
        <v>35317.84</v>
      </c>
      <c r="F16" s="4">
        <v>24142.84</v>
      </c>
      <c r="G16" s="4">
        <v>24142.84</v>
      </c>
      <c r="H16" s="4">
        <v>14800</v>
      </c>
      <c r="I16" s="9">
        <f t="shared" si="0"/>
        <v>170597.78</v>
      </c>
      <c r="J16" s="10">
        <v>105000</v>
      </c>
      <c r="K16" s="10">
        <f t="shared" si="1"/>
        <v>65597.78</v>
      </c>
      <c r="L16" s="11">
        <f t="shared" si="2"/>
        <v>1.62474076190476</v>
      </c>
      <c r="M16" s="10" t="str">
        <f t="shared" si="3"/>
        <v>Высокий доход</v>
      </c>
      <c r="N16" s="10">
        <f t="shared" si="4"/>
        <v>0</v>
      </c>
      <c r="O16" s="10">
        <f t="shared" si="5"/>
        <v>2</v>
      </c>
      <c r="P16" s="10">
        <f t="shared" si="6"/>
        <v>5</v>
      </c>
    </row>
    <row r="17" ht="15.6" spans="1:16">
      <c r="A17" s="5" t="s">
        <v>31</v>
      </c>
      <c r="B17" s="4">
        <v>22491.8</v>
      </c>
      <c r="C17" s="4">
        <v>22491.8</v>
      </c>
      <c r="D17" s="4">
        <v>22491.8</v>
      </c>
      <c r="E17" s="4">
        <v>22491.8</v>
      </c>
      <c r="F17" s="4">
        <v>22491.8</v>
      </c>
      <c r="G17" s="4">
        <v>18803.28</v>
      </c>
      <c r="H17" s="4">
        <v>18803.28</v>
      </c>
      <c r="I17" s="9">
        <f t="shared" si="0"/>
        <v>150065.56</v>
      </c>
      <c r="J17" s="10">
        <v>105000</v>
      </c>
      <c r="K17" s="10">
        <f t="shared" si="1"/>
        <v>45065.56</v>
      </c>
      <c r="L17" s="11">
        <f t="shared" si="2"/>
        <v>1.42919580952381</v>
      </c>
      <c r="M17" s="10" t="str">
        <f t="shared" si="3"/>
        <v>Высокий доход</v>
      </c>
      <c r="N17" s="10">
        <f t="shared" si="4"/>
        <v>0</v>
      </c>
      <c r="O17" s="10">
        <f t="shared" si="5"/>
        <v>0</v>
      </c>
      <c r="P17" s="10">
        <f t="shared" si="6"/>
        <v>7</v>
      </c>
    </row>
    <row r="18" ht="15.6" spans="1:16">
      <c r="A18" s="5" t="s">
        <v>32</v>
      </c>
      <c r="B18" s="4">
        <v>15700</v>
      </c>
      <c r="C18" s="4">
        <v>8550</v>
      </c>
      <c r="D18" s="4">
        <v>18350</v>
      </c>
      <c r="E18" s="4">
        <v>18350</v>
      </c>
      <c r="F18" s="4">
        <v>19550</v>
      </c>
      <c r="G18" s="4">
        <v>13850</v>
      </c>
      <c r="H18" s="4">
        <v>13850</v>
      </c>
      <c r="I18" s="9">
        <f t="shared" si="0"/>
        <v>108200</v>
      </c>
      <c r="J18" s="10">
        <v>105000</v>
      </c>
      <c r="K18" s="10">
        <f t="shared" si="1"/>
        <v>3200</v>
      </c>
      <c r="L18" s="11">
        <f t="shared" si="2"/>
        <v>1.03047619047619</v>
      </c>
      <c r="M18" s="10" t="str">
        <f t="shared" si="3"/>
        <v>Высокий доход</v>
      </c>
      <c r="N18" s="10">
        <f t="shared" si="4"/>
        <v>3</v>
      </c>
      <c r="O18" s="10">
        <f t="shared" si="5"/>
        <v>1</v>
      </c>
      <c r="P18" s="10">
        <f t="shared" si="6"/>
        <v>3</v>
      </c>
    </row>
    <row r="19" ht="15.6" spans="1:16">
      <c r="A19" s="5" t="s">
        <v>33</v>
      </c>
      <c r="B19" s="4">
        <v>25183.6</v>
      </c>
      <c r="C19" s="4">
        <v>18183.6</v>
      </c>
      <c r="D19" s="4">
        <v>20683.6</v>
      </c>
      <c r="E19" s="4">
        <v>23191.8</v>
      </c>
      <c r="F19" s="4">
        <v>25483.6</v>
      </c>
      <c r="G19" s="4">
        <v>36793.12</v>
      </c>
      <c r="H19" s="4">
        <v>21966.66</v>
      </c>
      <c r="I19" s="9">
        <f t="shared" si="0"/>
        <v>171485.98</v>
      </c>
      <c r="J19" s="10">
        <v>105000</v>
      </c>
      <c r="K19" s="10">
        <f t="shared" si="1"/>
        <v>66485.98</v>
      </c>
      <c r="L19" s="11">
        <f t="shared" si="2"/>
        <v>1.63319980952381</v>
      </c>
      <c r="M19" s="10" t="str">
        <f t="shared" si="3"/>
        <v>Высокий доход</v>
      </c>
      <c r="N19" s="10">
        <f t="shared" si="4"/>
        <v>0</v>
      </c>
      <c r="O19" s="10">
        <f t="shared" si="5"/>
        <v>0</v>
      </c>
      <c r="P19" s="10">
        <f t="shared" si="6"/>
        <v>7</v>
      </c>
    </row>
    <row r="20" spans="1:16">
      <c r="A20" s="6" t="s">
        <v>34</v>
      </c>
      <c r="B20" s="7">
        <f>SUM(B2:B19)</f>
        <v>421441.11</v>
      </c>
      <c r="C20" s="7">
        <f t="shared" ref="C20:H20" si="7">SUM(C2:C19)</f>
        <v>392420.88</v>
      </c>
      <c r="D20" s="7">
        <f t="shared" si="7"/>
        <v>397132.06</v>
      </c>
      <c r="E20" s="7">
        <f t="shared" si="7"/>
        <v>431195.94</v>
      </c>
      <c r="F20" s="7">
        <f t="shared" si="7"/>
        <v>400290.25</v>
      </c>
      <c r="G20" s="7">
        <f t="shared" si="7"/>
        <v>341123.18</v>
      </c>
      <c r="H20" s="7">
        <f t="shared" si="7"/>
        <v>229429.36</v>
      </c>
      <c r="I20" s="10"/>
      <c r="J20" s="10"/>
      <c r="K20" s="10"/>
      <c r="L20" s="10"/>
      <c r="M20" s="10"/>
      <c r="N20" s="10"/>
      <c r="O20" s="10"/>
      <c r="P20" s="10"/>
    </row>
    <row r="32" spans="7:7">
      <c r="G32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Майя</cp:lastModifiedBy>
  <dcterms:created xsi:type="dcterms:W3CDTF">2015-06-05T18:19:00Z</dcterms:created>
  <dcterms:modified xsi:type="dcterms:W3CDTF">2026-03-08T16:21:21Z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E26E3598B55F4B7787343D667DD73E1C_13</vt:lpwstr>
  </property>
  <property fmtid="{D5CDD505-2E9C-101B-9397-08002B2CF9AE}" pid="3" name="KSOProductBuildVer">
    <vt:lpwstr>1049-12.2.0.23196</vt:lpwstr>
  </property>
</Properties>
</file>